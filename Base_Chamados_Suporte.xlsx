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wksmtz21\Documents\"/>
    </mc:Choice>
  </mc:AlternateContent>
  <xr:revisionPtr revIDLastSave="0" documentId="13_ncr:1_{3B91EA11-FD2E-4BCA-9DA1-8D967A4B78AE}" xr6:coauthVersionLast="47" xr6:coauthVersionMax="47" xr10:uidLastSave="{00000000-0000-0000-0000-000000000000}"/>
  <bookViews>
    <workbookView xWindow="-120" yWindow="-120" windowWidth="20730" windowHeight="11160" xr2:uid="{5AD54531-98FD-4BEE-9058-594C26EF87E5}"/>
  </bookViews>
  <sheets>
    <sheet name="Chamados" sheetId="1" r:id="rId1"/>
    <sheet name="Lista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2" i="1" l="1"/>
  <c r="K33" i="1"/>
  <c r="K34" i="1"/>
  <c r="K35" i="1"/>
  <c r="K36" i="1"/>
  <c r="K37" i="1"/>
  <c r="K38" i="1"/>
  <c r="K39" i="1"/>
  <c r="K40" i="1"/>
  <c r="K41" i="1"/>
  <c r="K22" i="1"/>
  <c r="K23" i="1"/>
  <c r="K24" i="1"/>
  <c r="K25" i="1"/>
  <c r="K26" i="1"/>
  <c r="K27" i="1"/>
  <c r="K28" i="1"/>
  <c r="K29" i="1"/>
  <c r="K30" i="1"/>
  <c r="K31" i="1"/>
  <c r="K12" i="1"/>
  <c r="K13" i="1"/>
  <c r="K14" i="1"/>
  <c r="K15" i="1"/>
  <c r="K16" i="1"/>
  <c r="K17" i="1"/>
  <c r="K18" i="1"/>
  <c r="K19" i="1"/>
  <c r="K20" i="1"/>
  <c r="K21" i="1"/>
  <c r="K2" i="1"/>
  <c r="K3" i="1"/>
  <c r="K4" i="1"/>
  <c r="K5" i="1"/>
  <c r="K6" i="1"/>
  <c r="K7" i="1"/>
  <c r="K8" i="1"/>
  <c r="K9" i="1"/>
  <c r="K10" i="1"/>
  <c r="K11" i="1"/>
</calcChain>
</file>

<file path=xl/sharedStrings.xml><?xml version="1.0" encoding="utf-8"?>
<sst xmlns="http://schemas.openxmlformats.org/spreadsheetml/2006/main" count="461" uniqueCount="112">
  <si>
    <t>ID_Chamado</t>
  </si>
  <si>
    <t>DataHora_Abertura</t>
  </si>
  <si>
    <t>DataHora_Fechamento</t>
  </si>
  <si>
    <t>Categoria</t>
  </si>
  <si>
    <t>Subcategoria</t>
  </si>
  <si>
    <t>Prioridade</t>
  </si>
  <si>
    <t>Canal</t>
  </si>
  <si>
    <t>Departamento</t>
  </si>
  <si>
    <t>Analista</t>
  </si>
  <si>
    <t>SLA_Meta_Horas</t>
  </si>
  <si>
    <t>Causa_Raiz</t>
  </si>
  <si>
    <t>Incidente_Recorrente</t>
  </si>
  <si>
    <t>Reaberto</t>
  </si>
  <si>
    <t>Nota_Satisfacao</t>
  </si>
  <si>
    <t>CH0001</t>
  </si>
  <si>
    <t>CH0002</t>
  </si>
  <si>
    <t>CH0003</t>
  </si>
  <si>
    <t>CH0004</t>
  </si>
  <si>
    <t>CH0005</t>
  </si>
  <si>
    <t>CH0006</t>
  </si>
  <si>
    <t>CH0007</t>
  </si>
  <si>
    <t>CH0008</t>
  </si>
  <si>
    <t>CH0009</t>
  </si>
  <si>
    <t>CH0010</t>
  </si>
  <si>
    <t>Status</t>
  </si>
  <si>
    <t>Fechado</t>
  </si>
  <si>
    <t>Acessos</t>
  </si>
  <si>
    <t>Alta</t>
  </si>
  <si>
    <t>Portal</t>
  </si>
  <si>
    <t>Comercial</t>
  </si>
  <si>
    <t>Ana Souza</t>
  </si>
  <si>
    <t>Sim</t>
  </si>
  <si>
    <t>Não</t>
  </si>
  <si>
    <t>Bruno Lima</t>
  </si>
  <si>
    <t>Carla Mendes</t>
  </si>
  <si>
    <t>Diego Alves</t>
  </si>
  <si>
    <t>Financeiro</t>
  </si>
  <si>
    <t>Recursos Humanos</t>
  </si>
  <si>
    <t>Operações</t>
  </si>
  <si>
    <t>Software</t>
  </si>
  <si>
    <t>Hardware</t>
  </si>
  <si>
    <t>E-mail</t>
  </si>
  <si>
    <t>Sistemas</t>
  </si>
  <si>
    <t>Instalação</t>
  </si>
  <si>
    <t>Lentidão</t>
  </si>
  <si>
    <t>Impressora</t>
  </si>
  <si>
    <t>Caixa Cheia</t>
  </si>
  <si>
    <t>Outlook</t>
  </si>
  <si>
    <t>ERP</t>
  </si>
  <si>
    <t>Integração</t>
  </si>
  <si>
    <t>Bloqueio Usuário</t>
  </si>
  <si>
    <t>Permissão</t>
  </si>
  <si>
    <t>Atualização</t>
  </si>
  <si>
    <t>Instabilidade da rede</t>
  </si>
  <si>
    <t>Falta de permissão</t>
  </si>
  <si>
    <t>Falha de atualização</t>
  </si>
  <si>
    <t>Falha de configuração</t>
  </si>
  <si>
    <t>Indisponibilidade do fornecedor</t>
  </si>
  <si>
    <t>Erro do usuário</t>
  </si>
  <si>
    <t>Causa não identificada</t>
  </si>
  <si>
    <t>Equipamento obsoleto</t>
  </si>
  <si>
    <t>Capacidade insuficiente</t>
  </si>
  <si>
    <t>Em Atendimento</t>
  </si>
  <si>
    <t>Aberto</t>
  </si>
  <si>
    <t>Aguardando Usuário</t>
  </si>
  <si>
    <t>Resolvido</t>
  </si>
  <si>
    <t>Crítica</t>
  </si>
  <si>
    <t>Baixa</t>
  </si>
  <si>
    <t>Média</t>
  </si>
  <si>
    <t>Telefone</t>
  </si>
  <si>
    <t>Chat</t>
  </si>
  <si>
    <t>Presencial</t>
  </si>
  <si>
    <t>Redes</t>
  </si>
  <si>
    <t>CH0011</t>
  </si>
  <si>
    <t>CH0012</t>
  </si>
  <si>
    <t>CH0013</t>
  </si>
  <si>
    <t>CH0014</t>
  </si>
  <si>
    <t>CH0015</t>
  </si>
  <si>
    <t>CH0016</t>
  </si>
  <si>
    <t>CH0017</t>
  </si>
  <si>
    <t>CH0018</t>
  </si>
  <si>
    <t>CH0019</t>
  </si>
  <si>
    <t>CH0020</t>
  </si>
  <si>
    <t>Logistica</t>
  </si>
  <si>
    <t>Tecnologia</t>
  </si>
  <si>
    <t>Diretoria</t>
  </si>
  <si>
    <t>VPN</t>
  </si>
  <si>
    <t>Wi-fi</t>
  </si>
  <si>
    <t>Computador</t>
  </si>
  <si>
    <t>Alberto</t>
  </si>
  <si>
    <t>Caio</t>
  </si>
  <si>
    <t>Edgar</t>
  </si>
  <si>
    <t>CH0021</t>
  </si>
  <si>
    <t>CH0022</t>
  </si>
  <si>
    <t>CH0023</t>
  </si>
  <si>
    <t>CH0024</t>
  </si>
  <si>
    <t>CH0025</t>
  </si>
  <si>
    <t>CH0026</t>
  </si>
  <si>
    <t>CH0027</t>
  </si>
  <si>
    <t>CH0028</t>
  </si>
  <si>
    <t>CH0029</t>
  </si>
  <si>
    <t>CH0030</t>
  </si>
  <si>
    <t>CH0031</t>
  </si>
  <si>
    <t>CH0032</t>
  </si>
  <si>
    <t>CH0033</t>
  </si>
  <si>
    <t>CH0034</t>
  </si>
  <si>
    <t>CH0035</t>
  </si>
  <si>
    <t>CH0036</t>
  </si>
  <si>
    <t>CH0037</t>
  </si>
  <si>
    <t>CH0038</t>
  </si>
  <si>
    <t>CH0039</t>
  </si>
  <si>
    <t>CH0040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</si>
</sst>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686D91-B3F1-4FA5-944D-D53E8577186C}" name="tbChamados" displayName="tbChamados" ref="A1:O41" totalsRowShown="0">
  <autoFilter ref="A1:O41" xr:uid="{6F686D91-B3F1-4FA5-944D-D53E8577186C}"/>
  <tableColumns count="15">
    <tableColumn id="1" xr3:uid="{DF7AF015-DAB4-470E-9C30-68EE7A5A66DE}" name="ID_Chamado"/>
    <tableColumn id="2" xr3:uid="{D3C7B9F5-352C-4272-9B63-97498241B5B6}" name="DataHora_Abertura" dataDxfId="1"/>
    <tableColumn id="3" xr3:uid="{6A637FBE-DC61-46A8-80F4-81170902F69C}" name="DataHora_Fechamento"/>
    <tableColumn id="4" xr3:uid="{FD2796CB-564A-41F5-98FC-2C5E660C7299}" name="Status"/>
    <tableColumn id="5" xr3:uid="{8A41C121-765F-474A-A952-66EC8A8F6122}" name="Categoria"/>
    <tableColumn id="6" xr3:uid="{A4894D3D-8970-4411-897A-9707349190E9}" name="Subcategoria"/>
    <tableColumn id="7" xr3:uid="{6DC0E19D-F37F-413A-A1B2-6FA6FB508FCD}" name="Prioridade"/>
    <tableColumn id="8" xr3:uid="{F3E9C76E-4E4D-46EB-9336-893392DE3C5E}" name="Canal"/>
    <tableColumn id="9" xr3:uid="{31DE8B15-7EF5-492D-B6D7-04A68E696EE4}" name="Departamento"/>
    <tableColumn id="10" xr3:uid="{DE7C2B23-BBB0-4365-AD71-D27ADEF5307D}" name="Analista"/>
    <tableColumn id="11" xr3:uid="{521BAB24-715C-4A6D-8CD2-AC5937E7DA90}" name="SLA_Meta_Horas" dataDxfId="0">
      <calculatedColumnFormula>VLOOKUP(tbChamados[[#This Row],[Prioridade]],Listas!$A$2:$B$5,2,FALSE)</calculatedColumnFormula>
    </tableColumn>
    <tableColumn id="12" xr3:uid="{A02555C9-DA9C-476A-9DFF-82283FE5A057}" name="Causa_Raiz"/>
    <tableColumn id="13" xr3:uid="{4C8836AE-2A31-430D-9C52-581B52774ADA}" name="Incidente_Recorrente"/>
    <tableColumn id="14" xr3:uid="{AB71E3EB-0311-4326-ABBB-986BBCB58953}" name="Reaberto"/>
    <tableColumn id="15" xr3:uid="{68119C8B-D3B8-4C05-B534-439A32780209}" name="Nota_Satisfaca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61E5EF-628D-4846-887C-C8C1F38CB58C}" name="tbPrioridadeSLA" displayName="tbPrioridadeSLA" ref="A1:B5" totalsRowShown="0">
  <autoFilter ref="A1:B5" xr:uid="{6961E5EF-628D-4846-887C-C8C1F38CB58C}"/>
  <tableColumns count="2">
    <tableColumn id="1" xr3:uid="{CB470487-95DB-437C-A95C-708218DB7E54}" name="Prioridade"/>
    <tableColumn id="2" xr3:uid="{CC8916DB-61EF-4864-9FF5-B9BC85912A41}" name="SLA_Meta_Hora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BB1F-9DF4-4608-AC5A-6739C3E4F930}">
  <dimension ref="A1:O41"/>
  <sheetViews>
    <sheetView tabSelected="1" topLeftCell="A11" zoomScale="70" zoomScaleNormal="70" workbookViewId="0">
      <selection activeCell="C36" sqref="C36"/>
    </sheetView>
  </sheetViews>
  <sheetFormatPr defaultRowHeight="15" x14ac:dyDescent="0.25"/>
  <cols>
    <col min="1" max="1" width="15.5703125" customWidth="1"/>
    <col min="2" max="2" width="21.5703125" customWidth="1"/>
    <col min="3" max="3" width="25.5703125" customWidth="1"/>
    <col min="4" max="4" width="21" bestFit="1" customWidth="1"/>
    <col min="5" max="5" width="12.42578125" customWidth="1"/>
    <col min="6" max="6" width="18.7109375" bestFit="1" customWidth="1"/>
    <col min="7" max="8" width="12.85546875" customWidth="1"/>
    <col min="9" max="9" width="23.28515625" bestFit="1" customWidth="1"/>
    <col min="10" max="10" width="15.140625" customWidth="1"/>
    <col min="11" max="11" width="20" customWidth="1"/>
    <col min="12" max="12" width="34.140625" bestFit="1" customWidth="1"/>
    <col min="13" max="13" width="23.85546875" customWidth="1"/>
    <col min="14" max="14" width="12" customWidth="1"/>
    <col min="15" max="15" width="19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s="1">
        <v>46027.357638888891</v>
      </c>
      <c r="C2" s="1">
        <v>46027.376388888886</v>
      </c>
      <c r="D2" t="s">
        <v>25</v>
      </c>
      <c r="E2" t="s">
        <v>26</v>
      </c>
      <c r="F2" t="s">
        <v>51</v>
      </c>
      <c r="G2" t="s">
        <v>27</v>
      </c>
      <c r="H2" t="s">
        <v>28</v>
      </c>
      <c r="I2" t="s">
        <v>29</v>
      </c>
      <c r="J2" t="s">
        <v>30</v>
      </c>
      <c r="K2">
        <f>VLOOKUP(tbChamados[[#This Row],[Prioridade]],Listas!$A$2:$B$5,2,FALSE)</f>
        <v>8</v>
      </c>
      <c r="L2" t="s">
        <v>54</v>
      </c>
      <c r="M2" t="s">
        <v>31</v>
      </c>
      <c r="N2" t="s">
        <v>32</v>
      </c>
      <c r="O2">
        <v>5</v>
      </c>
    </row>
    <row r="3" spans="1:15" x14ac:dyDescent="0.25">
      <c r="A3" t="s">
        <v>15</v>
      </c>
      <c r="B3" s="1">
        <v>46039.377083333333</v>
      </c>
      <c r="C3" s="1"/>
      <c r="D3" t="s">
        <v>62</v>
      </c>
      <c r="E3" t="s">
        <v>39</v>
      </c>
      <c r="F3" t="s">
        <v>43</v>
      </c>
      <c r="G3" t="s">
        <v>27</v>
      </c>
      <c r="H3" t="s">
        <v>70</v>
      </c>
      <c r="I3" t="s">
        <v>36</v>
      </c>
      <c r="J3" t="s">
        <v>33</v>
      </c>
      <c r="K3">
        <f>VLOOKUP(tbChamados[[#This Row],[Prioridade]],Listas!$A$2:$B$5,2,FALSE)</f>
        <v>8</v>
      </c>
      <c r="L3" t="s">
        <v>55</v>
      </c>
      <c r="M3" t="s">
        <v>31</v>
      </c>
      <c r="N3" t="s">
        <v>31</v>
      </c>
    </row>
    <row r="4" spans="1:15" x14ac:dyDescent="0.25">
      <c r="A4" t="s">
        <v>16</v>
      </c>
      <c r="B4" s="1">
        <v>46054.47152777778</v>
      </c>
      <c r="C4" s="1">
        <v>46055.604166666664</v>
      </c>
      <c r="D4" t="s">
        <v>25</v>
      </c>
      <c r="E4" t="s">
        <v>40</v>
      </c>
      <c r="F4" t="s">
        <v>45</v>
      </c>
      <c r="G4" t="s">
        <v>68</v>
      </c>
      <c r="H4" t="s">
        <v>41</v>
      </c>
      <c r="I4" t="s">
        <v>37</v>
      </c>
      <c r="J4" t="s">
        <v>35</v>
      </c>
      <c r="K4">
        <f>VLOOKUP(tbChamados[[#This Row],[Prioridade]],Listas!$A$2:$B$5,2,FALSE)</f>
        <v>24</v>
      </c>
      <c r="L4" t="s">
        <v>60</v>
      </c>
      <c r="M4" t="s">
        <v>31</v>
      </c>
      <c r="N4" t="s">
        <v>32</v>
      </c>
      <c r="O4">
        <v>5</v>
      </c>
    </row>
    <row r="5" spans="1:15" x14ac:dyDescent="0.25">
      <c r="A5" t="s">
        <v>17</v>
      </c>
      <c r="B5" s="1">
        <v>46066.423611111109</v>
      </c>
      <c r="C5" s="1">
        <v>46068.458333333336</v>
      </c>
      <c r="D5" t="s">
        <v>65</v>
      </c>
      <c r="E5" t="s">
        <v>72</v>
      </c>
      <c r="F5" t="s">
        <v>44</v>
      </c>
      <c r="G5" t="s">
        <v>67</v>
      </c>
      <c r="H5" t="s">
        <v>69</v>
      </c>
      <c r="I5" t="s">
        <v>38</v>
      </c>
      <c r="J5" t="s">
        <v>34</v>
      </c>
      <c r="K5">
        <f>VLOOKUP(tbChamados[[#This Row],[Prioridade]],Listas!$A$2:$B$5,2,FALSE)</f>
        <v>48</v>
      </c>
      <c r="L5" t="s">
        <v>53</v>
      </c>
      <c r="M5" t="s">
        <v>32</v>
      </c>
      <c r="N5" t="s">
        <v>31</v>
      </c>
      <c r="O5">
        <v>3</v>
      </c>
    </row>
    <row r="6" spans="1:15" x14ac:dyDescent="0.25">
      <c r="A6" t="s">
        <v>18</v>
      </c>
      <c r="B6" s="1">
        <v>46074.568749999999</v>
      </c>
      <c r="D6" t="s">
        <v>63</v>
      </c>
      <c r="E6" t="s">
        <v>41</v>
      </c>
      <c r="F6" t="s">
        <v>46</v>
      </c>
      <c r="G6" t="s">
        <v>66</v>
      </c>
      <c r="H6" t="s">
        <v>71</v>
      </c>
      <c r="I6" t="s">
        <v>37</v>
      </c>
      <c r="J6" t="s">
        <v>35</v>
      </c>
      <c r="K6">
        <f>VLOOKUP(tbChamados[[#This Row],[Prioridade]],Listas!$A$2:$B$5,2,FALSE)</f>
        <v>4</v>
      </c>
      <c r="L6" t="s">
        <v>61</v>
      </c>
      <c r="M6" t="s">
        <v>32</v>
      </c>
      <c r="N6" t="s">
        <v>32</v>
      </c>
    </row>
    <row r="7" spans="1:15" x14ac:dyDescent="0.25">
      <c r="A7" t="s">
        <v>19</v>
      </c>
      <c r="B7" s="1">
        <v>46082.348611111112</v>
      </c>
      <c r="D7" t="s">
        <v>64</v>
      </c>
      <c r="E7" t="s">
        <v>42</v>
      </c>
      <c r="F7" t="s">
        <v>48</v>
      </c>
      <c r="G7" t="s">
        <v>27</v>
      </c>
      <c r="H7" t="s">
        <v>70</v>
      </c>
      <c r="I7" t="s">
        <v>36</v>
      </c>
      <c r="J7" t="s">
        <v>33</v>
      </c>
      <c r="K7">
        <f>VLOOKUP(tbChamados[[#This Row],[Prioridade]],Listas!$A$2:$B$5,2,FALSE)</f>
        <v>8</v>
      </c>
      <c r="L7" t="s">
        <v>57</v>
      </c>
      <c r="M7" t="s">
        <v>31</v>
      </c>
      <c r="N7" t="s">
        <v>32</v>
      </c>
    </row>
    <row r="8" spans="1:15" x14ac:dyDescent="0.25">
      <c r="A8" t="s">
        <v>20</v>
      </c>
      <c r="B8" s="1">
        <v>46084.40347222222</v>
      </c>
      <c r="D8" t="s">
        <v>62</v>
      </c>
      <c r="E8" t="s">
        <v>41</v>
      </c>
      <c r="F8" t="s">
        <v>47</v>
      </c>
      <c r="G8" t="s">
        <v>67</v>
      </c>
      <c r="H8" t="s">
        <v>69</v>
      </c>
      <c r="I8" t="s">
        <v>29</v>
      </c>
      <c r="J8" t="s">
        <v>30</v>
      </c>
      <c r="K8">
        <f>VLOOKUP(tbChamados[[#This Row],[Prioridade]],Listas!$A$2:$B$5,2,FALSE)</f>
        <v>48</v>
      </c>
      <c r="L8" t="s">
        <v>56</v>
      </c>
      <c r="M8" t="s">
        <v>32</v>
      </c>
      <c r="N8" t="s">
        <v>31</v>
      </c>
    </row>
    <row r="9" spans="1:15" x14ac:dyDescent="0.25">
      <c r="A9" t="s">
        <v>21</v>
      </c>
      <c r="B9" s="1">
        <v>46098.588194444441</v>
      </c>
      <c r="C9" s="1">
        <v>46098.750694444447</v>
      </c>
      <c r="D9" t="s">
        <v>65</v>
      </c>
      <c r="E9" t="s">
        <v>39</v>
      </c>
      <c r="F9" t="s">
        <v>52</v>
      </c>
      <c r="G9" t="s">
        <v>68</v>
      </c>
      <c r="H9" t="s">
        <v>69</v>
      </c>
      <c r="I9" t="s">
        <v>37</v>
      </c>
      <c r="J9" t="s">
        <v>35</v>
      </c>
      <c r="K9">
        <f>VLOOKUP(tbChamados[[#This Row],[Prioridade]],Listas!$A$2:$B$5,2,FALSE)</f>
        <v>24</v>
      </c>
      <c r="L9" t="s">
        <v>55</v>
      </c>
      <c r="M9" t="s">
        <v>31</v>
      </c>
      <c r="N9" t="s">
        <v>31</v>
      </c>
      <c r="O9">
        <v>4</v>
      </c>
    </row>
    <row r="10" spans="1:15" x14ac:dyDescent="0.25">
      <c r="A10" t="s">
        <v>22</v>
      </c>
      <c r="B10" s="1">
        <v>46102.674305555556</v>
      </c>
      <c r="C10" s="1">
        <v>46103.582638888889</v>
      </c>
      <c r="D10" t="s">
        <v>25</v>
      </c>
      <c r="E10" t="s">
        <v>26</v>
      </c>
      <c r="F10" t="s">
        <v>50</v>
      </c>
      <c r="G10" t="s">
        <v>68</v>
      </c>
      <c r="H10" t="s">
        <v>71</v>
      </c>
      <c r="I10" t="s">
        <v>29</v>
      </c>
      <c r="J10" t="s">
        <v>30</v>
      </c>
      <c r="K10">
        <f>VLOOKUP(tbChamados[[#This Row],[Prioridade]],Listas!$A$2:$B$5,2,FALSE)</f>
        <v>24</v>
      </c>
      <c r="L10" t="s">
        <v>58</v>
      </c>
      <c r="M10" t="s">
        <v>31</v>
      </c>
      <c r="N10" t="s">
        <v>31</v>
      </c>
      <c r="O10">
        <v>4</v>
      </c>
    </row>
    <row r="11" spans="1:15" x14ac:dyDescent="0.25">
      <c r="A11" t="s">
        <v>23</v>
      </c>
      <c r="B11" s="1">
        <v>46107.46875</v>
      </c>
      <c r="D11" t="s">
        <v>62</v>
      </c>
      <c r="E11" t="s">
        <v>42</v>
      </c>
      <c r="F11" t="s">
        <v>49</v>
      </c>
      <c r="G11" t="s">
        <v>68</v>
      </c>
      <c r="H11" t="s">
        <v>41</v>
      </c>
      <c r="I11" t="s">
        <v>38</v>
      </c>
      <c r="J11" t="s">
        <v>34</v>
      </c>
      <c r="K11">
        <f>VLOOKUP(tbChamados[[#This Row],[Prioridade]],Listas!$A$2:$B$5,2,FALSE)</f>
        <v>24</v>
      </c>
      <c r="L11" t="s">
        <v>59</v>
      </c>
      <c r="M11" t="s">
        <v>32</v>
      </c>
      <c r="N11" t="s">
        <v>32</v>
      </c>
    </row>
    <row r="12" spans="1:15" x14ac:dyDescent="0.25">
      <c r="A12" t="s">
        <v>73</v>
      </c>
      <c r="B12" s="1">
        <v>46114.335416666669</v>
      </c>
      <c r="C12" s="1">
        <v>46114.529861111114</v>
      </c>
      <c r="D12" t="s">
        <v>25</v>
      </c>
      <c r="E12" t="s">
        <v>72</v>
      </c>
      <c r="F12" t="s">
        <v>86</v>
      </c>
      <c r="G12" t="s">
        <v>66</v>
      </c>
      <c r="H12" t="s">
        <v>28</v>
      </c>
      <c r="I12" t="s">
        <v>83</v>
      </c>
      <c r="J12" t="s">
        <v>89</v>
      </c>
      <c r="K12" s="6">
        <f>VLOOKUP(tbChamados[[#This Row],[Prioridade]],Listas!$A$2:$B$5,2,FALSE)</f>
        <v>4</v>
      </c>
      <c r="L12" t="s">
        <v>53</v>
      </c>
      <c r="M12" t="s">
        <v>32</v>
      </c>
      <c r="N12" t="s">
        <v>32</v>
      </c>
      <c r="O12">
        <v>3</v>
      </c>
    </row>
    <row r="13" spans="1:15" x14ac:dyDescent="0.25">
      <c r="A13" t="s">
        <v>74</v>
      </c>
      <c r="B13" s="1">
        <v>46116.371527777781</v>
      </c>
      <c r="C13" s="1">
        <v>46116.543749999997</v>
      </c>
      <c r="D13" t="s">
        <v>25</v>
      </c>
      <c r="E13" t="s">
        <v>26</v>
      </c>
      <c r="F13" t="s">
        <v>50</v>
      </c>
      <c r="G13" t="s">
        <v>27</v>
      </c>
      <c r="H13" t="s">
        <v>70</v>
      </c>
      <c r="I13" t="s">
        <v>84</v>
      </c>
      <c r="J13" t="s">
        <v>90</v>
      </c>
      <c r="K13" s="6">
        <f>VLOOKUP(tbChamados[[#This Row],[Prioridade]],Listas!$A$2:$B$5,2,FALSE)</f>
        <v>8</v>
      </c>
      <c r="L13" t="s">
        <v>58</v>
      </c>
      <c r="M13" t="s">
        <v>31</v>
      </c>
      <c r="N13" t="s">
        <v>32</v>
      </c>
      <c r="O13">
        <v>3</v>
      </c>
    </row>
    <row r="14" spans="1:15" x14ac:dyDescent="0.25">
      <c r="A14" t="s">
        <v>75</v>
      </c>
      <c r="B14" s="1">
        <v>46119.737500000003</v>
      </c>
      <c r="D14" t="s">
        <v>62</v>
      </c>
      <c r="E14" t="s">
        <v>40</v>
      </c>
      <c r="F14" t="s">
        <v>45</v>
      </c>
      <c r="G14" t="s">
        <v>27</v>
      </c>
      <c r="H14" t="s">
        <v>41</v>
      </c>
      <c r="I14" t="s">
        <v>36</v>
      </c>
      <c r="J14" t="s">
        <v>33</v>
      </c>
      <c r="K14" s="6">
        <f>VLOOKUP(tbChamados[[#This Row],[Prioridade]],Listas!$A$2:$B$5,2,FALSE)</f>
        <v>8</v>
      </c>
      <c r="L14" t="s">
        <v>60</v>
      </c>
      <c r="M14" t="s">
        <v>32</v>
      </c>
      <c r="N14" t="s">
        <v>32</v>
      </c>
    </row>
    <row r="15" spans="1:15" x14ac:dyDescent="0.25">
      <c r="A15" t="s">
        <v>76</v>
      </c>
      <c r="B15" s="1">
        <v>46120.645138888889</v>
      </c>
      <c r="C15" s="1">
        <v>46120.73541666667</v>
      </c>
      <c r="D15" t="s">
        <v>65</v>
      </c>
      <c r="E15" t="s">
        <v>42</v>
      </c>
      <c r="F15" t="s">
        <v>48</v>
      </c>
      <c r="G15" t="s">
        <v>27</v>
      </c>
      <c r="H15" t="s">
        <v>69</v>
      </c>
      <c r="I15" t="s">
        <v>85</v>
      </c>
      <c r="J15" t="s">
        <v>91</v>
      </c>
      <c r="K15" s="6">
        <f>VLOOKUP(tbChamados[[#This Row],[Prioridade]],Listas!$A$2:$B$5,2,FALSE)</f>
        <v>8</v>
      </c>
      <c r="L15" t="s">
        <v>57</v>
      </c>
      <c r="M15" t="s">
        <v>32</v>
      </c>
      <c r="N15" t="s">
        <v>32</v>
      </c>
      <c r="O15">
        <v>5</v>
      </c>
    </row>
    <row r="16" spans="1:15" x14ac:dyDescent="0.25">
      <c r="A16" t="s">
        <v>77</v>
      </c>
      <c r="B16" s="1">
        <v>46124.425694444442</v>
      </c>
      <c r="C16" s="1">
        <v>46125.374305555553</v>
      </c>
      <c r="D16" t="s">
        <v>65</v>
      </c>
      <c r="E16" t="s">
        <v>39</v>
      </c>
      <c r="F16" t="s">
        <v>43</v>
      </c>
      <c r="G16" t="s">
        <v>68</v>
      </c>
      <c r="H16" t="s">
        <v>71</v>
      </c>
      <c r="I16" t="s">
        <v>29</v>
      </c>
      <c r="J16" t="s">
        <v>30</v>
      </c>
      <c r="K16" s="6">
        <f>VLOOKUP(tbChamados[[#This Row],[Prioridade]],Listas!$A$2:$B$5,2,FALSE)</f>
        <v>24</v>
      </c>
      <c r="L16" t="s">
        <v>56</v>
      </c>
      <c r="M16" t="s">
        <v>32</v>
      </c>
      <c r="N16" t="s">
        <v>32</v>
      </c>
      <c r="O16">
        <v>4</v>
      </c>
    </row>
    <row r="17" spans="1:15" x14ac:dyDescent="0.25">
      <c r="A17" t="s">
        <v>78</v>
      </c>
      <c r="B17" s="1">
        <v>46129.554861111108</v>
      </c>
      <c r="C17" s="1">
        <v>46130.553472222222</v>
      </c>
      <c r="D17" t="s">
        <v>25</v>
      </c>
      <c r="E17" t="s">
        <v>41</v>
      </c>
      <c r="F17" t="s">
        <v>47</v>
      </c>
      <c r="G17" t="s">
        <v>68</v>
      </c>
      <c r="H17" t="s">
        <v>70</v>
      </c>
      <c r="I17" t="s">
        <v>38</v>
      </c>
      <c r="J17" t="s">
        <v>34</v>
      </c>
      <c r="K17" s="6">
        <f>VLOOKUP(tbChamados[[#This Row],[Prioridade]],Listas!$A$2:$B$5,2,FALSE)</f>
        <v>24</v>
      </c>
      <c r="L17" t="s">
        <v>55</v>
      </c>
      <c r="M17" t="s">
        <v>32</v>
      </c>
      <c r="N17" t="s">
        <v>32</v>
      </c>
      <c r="O17">
        <v>4</v>
      </c>
    </row>
    <row r="18" spans="1:15" x14ac:dyDescent="0.25">
      <c r="A18" t="s">
        <v>79</v>
      </c>
      <c r="B18" s="1">
        <v>46132.584722222222</v>
      </c>
      <c r="C18" s="1">
        <v>46132.661111111112</v>
      </c>
      <c r="D18" t="s">
        <v>65</v>
      </c>
      <c r="E18" t="s">
        <v>72</v>
      </c>
      <c r="F18" t="s">
        <v>87</v>
      </c>
      <c r="G18" t="s">
        <v>68</v>
      </c>
      <c r="H18" t="s">
        <v>69</v>
      </c>
      <c r="I18" t="s">
        <v>84</v>
      </c>
      <c r="J18" t="s">
        <v>90</v>
      </c>
      <c r="K18" s="6">
        <f>VLOOKUP(tbChamados[[#This Row],[Prioridade]],Listas!$A$2:$B$5,2,FALSE)</f>
        <v>24</v>
      </c>
      <c r="L18" t="s">
        <v>53</v>
      </c>
      <c r="M18" t="s">
        <v>32</v>
      </c>
      <c r="N18" t="s">
        <v>31</v>
      </c>
      <c r="O18">
        <v>3</v>
      </c>
    </row>
    <row r="19" spans="1:15" x14ac:dyDescent="0.25">
      <c r="A19" t="s">
        <v>80</v>
      </c>
      <c r="B19" s="1">
        <v>46136.747916666667</v>
      </c>
      <c r="D19" t="s">
        <v>63</v>
      </c>
      <c r="E19" t="s">
        <v>40</v>
      </c>
      <c r="F19" t="s">
        <v>88</v>
      </c>
      <c r="G19" t="s">
        <v>68</v>
      </c>
      <c r="H19" t="s">
        <v>69</v>
      </c>
      <c r="I19" t="s">
        <v>37</v>
      </c>
      <c r="J19" t="s">
        <v>35</v>
      </c>
      <c r="K19" s="6">
        <f>VLOOKUP(tbChamados[[#This Row],[Prioridade]],Listas!$A$2:$B$5,2,FALSE)</f>
        <v>24</v>
      </c>
      <c r="L19" t="s">
        <v>54</v>
      </c>
      <c r="M19" t="s">
        <v>31</v>
      </c>
      <c r="N19" t="s">
        <v>32</v>
      </c>
    </row>
    <row r="20" spans="1:15" x14ac:dyDescent="0.25">
      <c r="A20" t="s">
        <v>81</v>
      </c>
      <c r="B20" s="1">
        <v>46139.335416666669</v>
      </c>
      <c r="C20" s="1">
        <v>46141.333333333336</v>
      </c>
      <c r="D20" t="s">
        <v>65</v>
      </c>
      <c r="E20" t="s">
        <v>26</v>
      </c>
      <c r="F20" t="s">
        <v>50</v>
      </c>
      <c r="G20" t="s">
        <v>67</v>
      </c>
      <c r="H20" t="s">
        <v>71</v>
      </c>
      <c r="I20" t="s">
        <v>85</v>
      </c>
      <c r="J20" t="s">
        <v>91</v>
      </c>
      <c r="K20" s="6">
        <f>VLOOKUP(tbChamados[[#This Row],[Prioridade]],Listas!$A$2:$B$5,2,FALSE)</f>
        <v>48</v>
      </c>
      <c r="L20" t="s">
        <v>54</v>
      </c>
      <c r="M20" t="s">
        <v>32</v>
      </c>
      <c r="N20" t="s">
        <v>32</v>
      </c>
      <c r="O20">
        <v>4</v>
      </c>
    </row>
    <row r="21" spans="1:15" x14ac:dyDescent="0.25">
      <c r="A21" t="s">
        <v>82</v>
      </c>
      <c r="B21" s="1">
        <v>46140.7</v>
      </c>
      <c r="C21" s="1">
        <v>46141.338888888888</v>
      </c>
      <c r="D21" t="s">
        <v>25</v>
      </c>
      <c r="E21" t="s">
        <v>72</v>
      </c>
      <c r="F21" t="s">
        <v>87</v>
      </c>
      <c r="G21" t="s">
        <v>67</v>
      </c>
      <c r="H21" t="s">
        <v>41</v>
      </c>
      <c r="I21" t="s">
        <v>83</v>
      </c>
      <c r="J21" t="s">
        <v>89</v>
      </c>
      <c r="K21" s="6">
        <f>VLOOKUP(tbChamados[[#This Row],[Prioridade]],Listas!$A$2:$B$5,2,FALSE)</f>
        <v>48</v>
      </c>
      <c r="L21" t="s">
        <v>56</v>
      </c>
      <c r="M21" t="s">
        <v>32</v>
      </c>
      <c r="N21" t="s">
        <v>32</v>
      </c>
      <c r="O21">
        <v>5</v>
      </c>
    </row>
    <row r="22" spans="1:15" x14ac:dyDescent="0.25">
      <c r="A22" t="s">
        <v>92</v>
      </c>
      <c r="B22" s="1">
        <v>46143.338888888888</v>
      </c>
      <c r="D22" t="s">
        <v>62</v>
      </c>
      <c r="E22" t="s">
        <v>42</v>
      </c>
      <c r="F22" t="s">
        <v>48</v>
      </c>
      <c r="G22" t="s">
        <v>27</v>
      </c>
      <c r="H22" t="s">
        <v>69</v>
      </c>
      <c r="I22" t="s">
        <v>84</v>
      </c>
      <c r="J22" t="s">
        <v>90</v>
      </c>
      <c r="K22" s="6">
        <f>VLOOKUP(tbChamados[[#This Row],[Prioridade]],Listas!$A$2:$B$5,2,FALSE)</f>
        <v>8</v>
      </c>
      <c r="L22" t="s">
        <v>55</v>
      </c>
      <c r="M22" t="s">
        <v>31</v>
      </c>
      <c r="N22" t="s">
        <v>32</v>
      </c>
    </row>
    <row r="23" spans="1:15" x14ac:dyDescent="0.25">
      <c r="A23" t="s">
        <v>93</v>
      </c>
      <c r="B23" s="1">
        <v>46144.370138888888</v>
      </c>
      <c r="C23" s="1">
        <v>46145.334027777775</v>
      </c>
      <c r="D23" t="s">
        <v>65</v>
      </c>
      <c r="E23" t="s">
        <v>41</v>
      </c>
      <c r="F23" t="s">
        <v>46</v>
      </c>
      <c r="G23" t="s">
        <v>68</v>
      </c>
      <c r="H23" t="s">
        <v>41</v>
      </c>
      <c r="I23" t="s">
        <v>36</v>
      </c>
      <c r="J23" t="s">
        <v>33</v>
      </c>
      <c r="K23" s="6">
        <f>VLOOKUP(tbChamados[[#This Row],[Prioridade]],Listas!$A$2:$B$5,2,FALSE)</f>
        <v>24</v>
      </c>
      <c r="L23" t="s">
        <v>56</v>
      </c>
      <c r="M23" t="s">
        <v>32</v>
      </c>
      <c r="N23" t="s">
        <v>32</v>
      </c>
      <c r="O23">
        <v>4</v>
      </c>
    </row>
    <row r="24" spans="1:15" x14ac:dyDescent="0.25">
      <c r="A24" t="s">
        <v>94</v>
      </c>
      <c r="B24" s="1">
        <v>46147.54791666667</v>
      </c>
      <c r="C24" s="1">
        <v>46147.723611111112</v>
      </c>
      <c r="D24" t="s">
        <v>25</v>
      </c>
      <c r="E24" t="s">
        <v>39</v>
      </c>
      <c r="F24" t="s">
        <v>43</v>
      </c>
      <c r="G24" t="s">
        <v>27</v>
      </c>
      <c r="H24" t="s">
        <v>70</v>
      </c>
      <c r="I24" t="s">
        <v>85</v>
      </c>
      <c r="J24" t="s">
        <v>91</v>
      </c>
      <c r="K24" s="6">
        <f>VLOOKUP(tbChamados[[#This Row],[Prioridade]],Listas!$A$2:$B$5,2,FALSE)</f>
        <v>8</v>
      </c>
      <c r="L24" t="s">
        <v>55</v>
      </c>
      <c r="M24" t="s">
        <v>32</v>
      </c>
      <c r="N24" t="s">
        <v>32</v>
      </c>
      <c r="O24">
        <v>5</v>
      </c>
    </row>
    <row r="25" spans="1:15" x14ac:dyDescent="0.25">
      <c r="A25" t="s">
        <v>95</v>
      </c>
      <c r="B25" s="1">
        <v>46155.423611111109</v>
      </c>
      <c r="C25" s="1">
        <v>46156.748611111114</v>
      </c>
      <c r="D25" t="s">
        <v>65</v>
      </c>
      <c r="E25" t="s">
        <v>40</v>
      </c>
      <c r="F25" t="s">
        <v>88</v>
      </c>
      <c r="G25" t="s">
        <v>68</v>
      </c>
      <c r="H25" t="s">
        <v>70</v>
      </c>
      <c r="I25" t="s">
        <v>37</v>
      </c>
      <c r="J25" t="s">
        <v>35</v>
      </c>
      <c r="K25" s="6">
        <f>VLOOKUP(tbChamados[[#This Row],[Prioridade]],Listas!$A$2:$B$5,2,FALSE)</f>
        <v>24</v>
      </c>
      <c r="L25" t="s">
        <v>60</v>
      </c>
      <c r="M25" t="s">
        <v>32</v>
      </c>
      <c r="N25" t="s">
        <v>32</v>
      </c>
      <c r="O25">
        <v>4</v>
      </c>
    </row>
    <row r="26" spans="1:15" x14ac:dyDescent="0.25">
      <c r="A26" t="s">
        <v>96</v>
      </c>
      <c r="B26" s="1">
        <v>46158.388194444444</v>
      </c>
      <c r="C26" s="1">
        <v>46159.61041666667</v>
      </c>
      <c r="D26" t="s">
        <v>65</v>
      </c>
      <c r="E26" t="s">
        <v>72</v>
      </c>
      <c r="F26" t="s">
        <v>86</v>
      </c>
      <c r="G26" t="s">
        <v>68</v>
      </c>
      <c r="H26" t="s">
        <v>71</v>
      </c>
      <c r="I26" t="s">
        <v>84</v>
      </c>
      <c r="J26" t="s">
        <v>90</v>
      </c>
      <c r="K26" s="6">
        <f>VLOOKUP(tbChamados[[#This Row],[Prioridade]],Listas!$A$2:$B$5,2,FALSE)</f>
        <v>24</v>
      </c>
      <c r="L26" t="s">
        <v>54</v>
      </c>
      <c r="M26" t="s">
        <v>31</v>
      </c>
      <c r="N26" t="s">
        <v>32</v>
      </c>
      <c r="O26">
        <v>4</v>
      </c>
    </row>
    <row r="27" spans="1:15" x14ac:dyDescent="0.25">
      <c r="A27" t="s">
        <v>97</v>
      </c>
      <c r="B27" s="1">
        <v>46165.59097222222</v>
      </c>
      <c r="C27" s="1">
        <v>46165.757638888892</v>
      </c>
      <c r="D27" t="s">
        <v>65</v>
      </c>
      <c r="E27" t="s">
        <v>39</v>
      </c>
      <c r="F27" t="s">
        <v>52</v>
      </c>
      <c r="G27" t="s">
        <v>66</v>
      </c>
      <c r="H27" t="s">
        <v>70</v>
      </c>
      <c r="I27" t="s">
        <v>38</v>
      </c>
      <c r="J27" t="s">
        <v>34</v>
      </c>
      <c r="K27" s="6">
        <f>VLOOKUP(tbChamados[[#This Row],[Prioridade]],Listas!$A$2:$B$5,2,FALSE)</f>
        <v>4</v>
      </c>
      <c r="L27" t="s">
        <v>55</v>
      </c>
      <c r="M27" t="s">
        <v>32</v>
      </c>
      <c r="N27" t="s">
        <v>32</v>
      </c>
      <c r="O27">
        <v>5</v>
      </c>
    </row>
    <row r="28" spans="1:15" x14ac:dyDescent="0.25">
      <c r="A28" t="s">
        <v>98</v>
      </c>
      <c r="B28" s="1">
        <v>46167.67291666667</v>
      </c>
      <c r="C28" s="1">
        <v>46167.752083333333</v>
      </c>
      <c r="D28" t="s">
        <v>25</v>
      </c>
      <c r="E28" t="s">
        <v>41</v>
      </c>
      <c r="F28" t="s">
        <v>47</v>
      </c>
      <c r="G28" t="s">
        <v>27</v>
      </c>
      <c r="H28" t="s">
        <v>41</v>
      </c>
      <c r="I28" t="s">
        <v>83</v>
      </c>
      <c r="J28" t="s">
        <v>89</v>
      </c>
      <c r="K28" s="6">
        <f>VLOOKUP(tbChamados[[#This Row],[Prioridade]],Listas!$A$2:$B$5,2,FALSE)</f>
        <v>8</v>
      </c>
      <c r="L28" t="s">
        <v>61</v>
      </c>
      <c r="M28" t="s">
        <v>32</v>
      </c>
      <c r="N28" t="s">
        <v>32</v>
      </c>
      <c r="O28">
        <v>5</v>
      </c>
    </row>
    <row r="29" spans="1:15" x14ac:dyDescent="0.25">
      <c r="A29" t="s">
        <v>99</v>
      </c>
      <c r="B29" s="1">
        <v>46169.365972222222</v>
      </c>
      <c r="C29" s="1">
        <v>46171.340277777781</v>
      </c>
      <c r="D29" t="s">
        <v>25</v>
      </c>
      <c r="E29" t="s">
        <v>26</v>
      </c>
      <c r="F29" t="s">
        <v>50</v>
      </c>
      <c r="G29" t="s">
        <v>67</v>
      </c>
      <c r="H29" t="s">
        <v>70</v>
      </c>
      <c r="I29" t="s">
        <v>84</v>
      </c>
      <c r="J29" t="s">
        <v>90</v>
      </c>
      <c r="K29" s="6">
        <f>VLOOKUP(tbChamados[[#This Row],[Prioridade]],Listas!$A$2:$B$5,2,FALSE)</f>
        <v>48</v>
      </c>
      <c r="L29" t="s">
        <v>58</v>
      </c>
      <c r="M29" t="s">
        <v>31</v>
      </c>
      <c r="N29" t="s">
        <v>32</v>
      </c>
      <c r="O29">
        <v>3</v>
      </c>
    </row>
    <row r="30" spans="1:15" x14ac:dyDescent="0.25">
      <c r="A30" t="s">
        <v>100</v>
      </c>
      <c r="B30" s="1">
        <v>46171.604861111111</v>
      </c>
      <c r="C30" s="1">
        <v>46172.744444444441</v>
      </c>
      <c r="D30" t="s">
        <v>25</v>
      </c>
      <c r="E30" t="s">
        <v>72</v>
      </c>
      <c r="F30" t="s">
        <v>87</v>
      </c>
      <c r="G30" t="s">
        <v>67</v>
      </c>
      <c r="H30" t="s">
        <v>71</v>
      </c>
      <c r="I30" t="s">
        <v>83</v>
      </c>
      <c r="J30" t="s">
        <v>89</v>
      </c>
      <c r="K30" s="6">
        <f>VLOOKUP(tbChamados[[#This Row],[Prioridade]],Listas!$A$2:$B$5,2,FALSE)</f>
        <v>48</v>
      </c>
      <c r="L30" t="s">
        <v>53</v>
      </c>
      <c r="M30" t="s">
        <v>32</v>
      </c>
      <c r="N30" t="s">
        <v>32</v>
      </c>
      <c r="O30">
        <v>5</v>
      </c>
    </row>
    <row r="31" spans="1:15" x14ac:dyDescent="0.25">
      <c r="A31" t="s">
        <v>101</v>
      </c>
      <c r="B31" s="1">
        <v>46172.34652777778</v>
      </c>
      <c r="C31" s="1">
        <v>46172.745833333334</v>
      </c>
      <c r="D31" t="s">
        <v>25</v>
      </c>
      <c r="E31" t="s">
        <v>42</v>
      </c>
      <c r="F31" t="s">
        <v>49</v>
      </c>
      <c r="G31" t="s">
        <v>68</v>
      </c>
      <c r="H31" t="s">
        <v>69</v>
      </c>
      <c r="I31" t="s">
        <v>85</v>
      </c>
      <c r="J31" t="s">
        <v>91</v>
      </c>
      <c r="K31" s="6">
        <f>VLOOKUP(tbChamados[[#This Row],[Prioridade]],Listas!$A$2:$B$5,2,FALSE)</f>
        <v>24</v>
      </c>
      <c r="L31" t="s">
        <v>57</v>
      </c>
      <c r="M31" t="s">
        <v>32</v>
      </c>
      <c r="N31" t="s">
        <v>31</v>
      </c>
      <c r="O31">
        <v>2</v>
      </c>
    </row>
    <row r="32" spans="1:15" x14ac:dyDescent="0.25">
      <c r="A32" t="s">
        <v>102</v>
      </c>
      <c r="B32" s="1">
        <v>46176.339583333334</v>
      </c>
      <c r="C32" s="1">
        <v>46176.743055555555</v>
      </c>
      <c r="D32" t="s">
        <v>65</v>
      </c>
      <c r="E32" t="s">
        <v>42</v>
      </c>
      <c r="F32" t="s">
        <v>49</v>
      </c>
      <c r="G32" t="s">
        <v>68</v>
      </c>
      <c r="H32" t="s">
        <v>71</v>
      </c>
      <c r="I32" t="s">
        <v>38</v>
      </c>
      <c r="J32" t="s">
        <v>34</v>
      </c>
      <c r="K32" s="6">
        <f>VLOOKUP(tbChamados[[#This Row],[Prioridade]],Listas!$A$2:$B$5,2,FALSE)</f>
        <v>24</v>
      </c>
      <c r="L32" t="s">
        <v>56</v>
      </c>
      <c r="M32" t="s">
        <v>32</v>
      </c>
      <c r="N32" t="s">
        <v>31</v>
      </c>
      <c r="O32">
        <v>2</v>
      </c>
    </row>
    <row r="33" spans="1:15" x14ac:dyDescent="0.25">
      <c r="A33" t="s">
        <v>103</v>
      </c>
      <c r="B33" s="1">
        <v>46178.429166666669</v>
      </c>
      <c r="C33" s="1">
        <v>46178.681944444441</v>
      </c>
      <c r="D33" t="s">
        <v>25</v>
      </c>
      <c r="E33" t="s">
        <v>72</v>
      </c>
      <c r="F33" t="s">
        <v>87</v>
      </c>
      <c r="G33" t="s">
        <v>27</v>
      </c>
      <c r="H33" t="s">
        <v>41</v>
      </c>
      <c r="I33" t="s">
        <v>38</v>
      </c>
      <c r="J33" t="s">
        <v>34</v>
      </c>
      <c r="K33" s="6">
        <f>VLOOKUP(tbChamados[[#This Row],[Prioridade]],Listas!$A$2:$B$5,2,FALSE)</f>
        <v>8</v>
      </c>
      <c r="L33" t="s">
        <v>53</v>
      </c>
      <c r="M33" t="s">
        <v>32</v>
      </c>
      <c r="N33" t="s">
        <v>32</v>
      </c>
      <c r="O33">
        <v>4</v>
      </c>
    </row>
    <row r="34" spans="1:15" x14ac:dyDescent="0.25">
      <c r="A34" t="s">
        <v>104</v>
      </c>
      <c r="B34" s="1">
        <v>46181.606249999997</v>
      </c>
      <c r="C34" s="1">
        <v>46181.655555555553</v>
      </c>
      <c r="D34" t="s">
        <v>65</v>
      </c>
      <c r="E34" t="s">
        <v>26</v>
      </c>
      <c r="F34" t="s">
        <v>50</v>
      </c>
      <c r="G34" t="s">
        <v>27</v>
      </c>
      <c r="H34" t="s">
        <v>28</v>
      </c>
      <c r="I34" t="s">
        <v>85</v>
      </c>
      <c r="J34" t="s">
        <v>91</v>
      </c>
      <c r="K34" s="6">
        <f>VLOOKUP(tbChamados[[#This Row],[Prioridade]],Listas!$A$2:$B$5,2,FALSE)</f>
        <v>8</v>
      </c>
      <c r="L34" t="s">
        <v>54</v>
      </c>
      <c r="M34" t="s">
        <v>32</v>
      </c>
      <c r="N34" t="s">
        <v>32</v>
      </c>
      <c r="O34">
        <v>5</v>
      </c>
    </row>
    <row r="35" spans="1:15" x14ac:dyDescent="0.25">
      <c r="A35" t="s">
        <v>105</v>
      </c>
      <c r="B35" s="1">
        <v>46184.423611111109</v>
      </c>
      <c r="C35" s="1">
        <v>46185.415972222225</v>
      </c>
      <c r="D35" t="s">
        <v>25</v>
      </c>
      <c r="E35" t="s">
        <v>40</v>
      </c>
      <c r="F35" t="s">
        <v>45</v>
      </c>
      <c r="G35" t="s">
        <v>68</v>
      </c>
      <c r="H35" t="s">
        <v>70</v>
      </c>
      <c r="I35" t="s">
        <v>29</v>
      </c>
      <c r="J35" t="s">
        <v>30</v>
      </c>
      <c r="K35" s="6">
        <f>VLOOKUP(tbChamados[[#This Row],[Prioridade]],Listas!$A$2:$B$5,2,FALSE)</f>
        <v>24</v>
      </c>
      <c r="L35" t="s">
        <v>60</v>
      </c>
      <c r="M35" t="s">
        <v>32</v>
      </c>
      <c r="N35" t="s">
        <v>32</v>
      </c>
      <c r="O35">
        <v>4</v>
      </c>
    </row>
    <row r="36" spans="1:15" x14ac:dyDescent="0.25">
      <c r="A36" t="s">
        <v>106</v>
      </c>
      <c r="B36" s="1">
        <v>46185.50277777778</v>
      </c>
      <c r="C36" s="1">
        <v>46187.338888888888</v>
      </c>
      <c r="D36" t="s">
        <v>25</v>
      </c>
      <c r="E36" t="s">
        <v>42</v>
      </c>
      <c r="F36" t="s">
        <v>48</v>
      </c>
      <c r="G36" t="s">
        <v>67</v>
      </c>
      <c r="H36" t="s">
        <v>41</v>
      </c>
      <c r="I36" t="s">
        <v>36</v>
      </c>
      <c r="J36" t="s">
        <v>33</v>
      </c>
      <c r="K36" s="6">
        <f>VLOOKUP(tbChamados[[#This Row],[Prioridade]],Listas!$A$2:$B$5,2,FALSE)</f>
        <v>48</v>
      </c>
      <c r="L36" t="s">
        <v>57</v>
      </c>
      <c r="M36" t="s">
        <v>32</v>
      </c>
      <c r="N36" t="s">
        <v>32</v>
      </c>
      <c r="O36">
        <v>4</v>
      </c>
    </row>
    <row r="37" spans="1:15" x14ac:dyDescent="0.25">
      <c r="A37" t="s">
        <v>107</v>
      </c>
      <c r="B37" s="1">
        <v>46188.680555555555</v>
      </c>
      <c r="C37" s="1">
        <v>46189.668749999997</v>
      </c>
      <c r="D37" t="s">
        <v>65</v>
      </c>
      <c r="E37" t="s">
        <v>39</v>
      </c>
      <c r="F37" t="s">
        <v>43</v>
      </c>
      <c r="G37" t="s">
        <v>68</v>
      </c>
      <c r="H37" t="s">
        <v>69</v>
      </c>
      <c r="I37" t="s">
        <v>84</v>
      </c>
      <c r="J37" t="s">
        <v>90</v>
      </c>
      <c r="K37" s="6">
        <f>VLOOKUP(tbChamados[[#This Row],[Prioridade]],Listas!$A$2:$B$5,2,FALSE)</f>
        <v>24</v>
      </c>
      <c r="L37" t="s">
        <v>56</v>
      </c>
      <c r="M37" t="s">
        <v>32</v>
      </c>
      <c r="N37" t="s">
        <v>32</v>
      </c>
      <c r="O37">
        <v>3</v>
      </c>
    </row>
    <row r="38" spans="1:15" x14ac:dyDescent="0.25">
      <c r="A38" t="s">
        <v>108</v>
      </c>
      <c r="B38" s="1">
        <v>46190.554861111108</v>
      </c>
      <c r="C38" s="1">
        <v>46192.554166666669</v>
      </c>
      <c r="D38" t="s">
        <v>25</v>
      </c>
      <c r="E38" t="s">
        <v>41</v>
      </c>
      <c r="F38" t="s">
        <v>47</v>
      </c>
      <c r="G38" t="s">
        <v>67</v>
      </c>
      <c r="H38" t="s">
        <v>71</v>
      </c>
      <c r="I38" t="s">
        <v>85</v>
      </c>
      <c r="J38" t="s">
        <v>91</v>
      </c>
      <c r="K38" s="6">
        <f>VLOOKUP(tbChamados[[#This Row],[Prioridade]],Listas!$A$2:$B$5,2,FALSE)</f>
        <v>48</v>
      </c>
      <c r="L38" t="s">
        <v>61</v>
      </c>
      <c r="M38" t="s">
        <v>31</v>
      </c>
      <c r="N38" t="s">
        <v>32</v>
      </c>
      <c r="O38">
        <v>5</v>
      </c>
    </row>
    <row r="39" spans="1:15" x14ac:dyDescent="0.25">
      <c r="A39" t="s">
        <v>109</v>
      </c>
      <c r="B39" s="1">
        <v>46195.713888888888</v>
      </c>
      <c r="C39" s="1">
        <v>46196.379861111112</v>
      </c>
      <c r="D39" t="s">
        <v>65</v>
      </c>
      <c r="E39" t="s">
        <v>72</v>
      </c>
      <c r="F39" t="s">
        <v>86</v>
      </c>
      <c r="G39" t="s">
        <v>66</v>
      </c>
      <c r="H39" t="s">
        <v>70</v>
      </c>
      <c r="I39" t="s">
        <v>83</v>
      </c>
      <c r="J39" t="s">
        <v>89</v>
      </c>
      <c r="K39" s="6">
        <f>VLOOKUP(tbChamados[[#This Row],[Prioridade]],Listas!$A$2:$B$5,2,FALSE)</f>
        <v>4</v>
      </c>
      <c r="L39" t="s">
        <v>54</v>
      </c>
      <c r="M39" t="s">
        <v>31</v>
      </c>
      <c r="N39" t="s">
        <v>32</v>
      </c>
      <c r="O39">
        <v>4</v>
      </c>
    </row>
    <row r="40" spans="1:15" x14ac:dyDescent="0.25">
      <c r="A40" t="s">
        <v>110</v>
      </c>
      <c r="B40" s="1">
        <v>46197.752083333333</v>
      </c>
      <c r="C40" s="1">
        <v>46198.424305555556</v>
      </c>
      <c r="D40" t="s">
        <v>25</v>
      </c>
      <c r="E40" t="s">
        <v>40</v>
      </c>
      <c r="F40" t="s">
        <v>88</v>
      </c>
      <c r="G40" t="s">
        <v>68</v>
      </c>
      <c r="H40" t="s">
        <v>69</v>
      </c>
      <c r="I40" t="s">
        <v>37</v>
      </c>
      <c r="J40" t="s">
        <v>35</v>
      </c>
      <c r="K40" s="6">
        <f>VLOOKUP(tbChamados[[#This Row],[Prioridade]],Listas!$A$2:$B$5,2,FALSE)</f>
        <v>24</v>
      </c>
      <c r="L40" t="s">
        <v>60</v>
      </c>
      <c r="M40" t="s">
        <v>32</v>
      </c>
      <c r="N40" t="s">
        <v>32</v>
      </c>
      <c r="O40">
        <v>4</v>
      </c>
    </row>
    <row r="41" spans="1:15" x14ac:dyDescent="0.25">
      <c r="A41" t="s">
        <v>111</v>
      </c>
      <c r="B41" s="1">
        <v>46200.472222222219</v>
      </c>
      <c r="D41" t="s">
        <v>63</v>
      </c>
      <c r="E41" t="s">
        <v>26</v>
      </c>
      <c r="F41" t="s">
        <v>50</v>
      </c>
      <c r="G41" t="s">
        <v>27</v>
      </c>
      <c r="H41" t="s">
        <v>69</v>
      </c>
      <c r="I41" t="s">
        <v>83</v>
      </c>
      <c r="J41" t="s">
        <v>89</v>
      </c>
      <c r="K41" s="6">
        <f>VLOOKUP(tbChamados[[#This Row],[Prioridade]],Listas!$A$2:$B$5,2,FALSE)</f>
        <v>8</v>
      </c>
      <c r="L41" t="s">
        <v>58</v>
      </c>
      <c r="M41" t="s">
        <v>31</v>
      </c>
      <c r="N41" t="s">
        <v>32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62E8-E9ED-4BD9-B9E3-1E16A1CE0C5C}">
  <dimension ref="A1:B5"/>
  <sheetViews>
    <sheetView workbookViewId="0">
      <selection activeCell="C9" sqref="C9"/>
    </sheetView>
  </sheetViews>
  <sheetFormatPr defaultRowHeight="15" x14ac:dyDescent="0.25"/>
  <cols>
    <col min="1" max="1" width="17.7109375" customWidth="1"/>
    <col min="2" max="2" width="36.7109375" customWidth="1"/>
  </cols>
  <sheetData>
    <row r="1" spans="1:2" x14ac:dyDescent="0.25">
      <c r="A1" s="2" t="s">
        <v>5</v>
      </c>
      <c r="B1" s="4" t="s">
        <v>9</v>
      </c>
    </row>
    <row r="2" spans="1:2" x14ac:dyDescent="0.25">
      <c r="A2" s="5" t="s">
        <v>66</v>
      </c>
      <c r="B2" s="3">
        <v>4</v>
      </c>
    </row>
    <row r="3" spans="1:2" x14ac:dyDescent="0.25">
      <c r="A3" s="5" t="s">
        <v>27</v>
      </c>
      <c r="B3" s="3">
        <v>8</v>
      </c>
    </row>
    <row r="4" spans="1:2" x14ac:dyDescent="0.25">
      <c r="A4" s="5" t="s">
        <v>68</v>
      </c>
      <c r="B4" s="3">
        <v>24</v>
      </c>
    </row>
    <row r="5" spans="1:2" x14ac:dyDescent="0.25">
      <c r="A5" s="5" t="s">
        <v>67</v>
      </c>
      <c r="B5" s="3">
        <v>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Chamados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syswksmtz21</dc:creator>
  <cp:lastModifiedBy>syswksmtz21</cp:lastModifiedBy>
  <dcterms:created xsi:type="dcterms:W3CDTF">2026-06-25T19:01:54Z</dcterms:created>
  <dcterms:modified xsi:type="dcterms:W3CDTF">2026-06-27T04:40:30Z</dcterms:modified>
</cp:coreProperties>
</file>